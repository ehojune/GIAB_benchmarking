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0922 (2026-09-22)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442개 데이터셋의 51개 원본 필드와 처리 현황</t>
        </is>
      </c>
    </row>
    <row r="18">
      <c r="A18" s="4" t="inlineStr">
        <is>
          <t>· 'Access &amp; Links' : FTP 경로 및 다운로드·문서 링크</t>
        </is>
      </c>
    </row>
    <row r="19">
      <c r="A19" s="4" t="inlineStr">
        <is>
          <t>※ 442 datasets / 81,316 files / 114.3 TiB. 2026-09-22: HG002 R10.4.1 ONT(ONT 공개 데이터 giab_2025.01 PAW70337, 2 files 160.0 GiB, CC BY-NC 4.0 비상업 연구 한정)를 ext/ 외부 유래 행으로 추가해 442 datasets / 81,316 files / 114.3 TiB가 되었다. 네 갈래 취득 경로(GIAB FTP·ENA·ONT 공개·Google/HPRC)를 한 번에 받는 진입점은 phase0_download/scripts/fetch_all.sh.</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3"/>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row r="53">
      <c r="A53" s="29" t="inlineStr">
        <is>
          <t>· HG002 ONT R10.4.1은 GIAB FTP에 없어 ONT 공개 데이터(giab_2025.01 PAW70337)에서 편입했다 — R9 일색이던 germline ONT에 R10 축을 여는 유일한 런 (2026-09-22)</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row r="36">
      <c r="A36" s="45" t="inlineStr">
        <is>
          <t>ENA PacBio SequelII 11kb 리드 (PRJNA540705/540706)</t>
        </is>
      </c>
      <c r="B36" t="inlineStr">
        <is>
          <t>https://ftp.sra.ebi.ac.uk/vol1/fastq/</t>
        </is>
      </c>
    </row>
    <row r="37">
      <c r="A37" s="45" t="inlineStr">
        <is>
          <t>nanopore-wgs-consortium rel6 (HG001 ONT-UL 원시 리드)</t>
        </is>
      </c>
      <c r="B37" t="inlineStr">
        <is>
          <t>https://s3.amazonaws.com/nanopore-human-wgs/rel6/</t>
        </is>
      </c>
    </row>
    <row r="38">
      <c r="A38" s="45" t="inlineStr">
        <is>
          <t>ONT 공개 데이터 giab_2025.01 (HG002 R10.4.1, CC BY-NC 4.0)</t>
        </is>
      </c>
      <c r="B38" t="inlineStr">
        <is>
          <t>https://ont-open-data.s3.eu-west-1.amazonaws.com/giab_2025.01/</t>
        </is>
      </c>
    </row>
    <row r="39">
      <c r="A39" s="45" t="inlineStr">
        <is>
          <t>Google brain-genomics-public (숏리드 NovaSeq 6000/X 30x)</t>
        </is>
      </c>
      <c r="B39" t="inlineStr">
        <is>
          <t>https://storage.googleapis.com/brain-genomics-public/research/sequencing/</t>
        </is>
      </c>
    </row>
    <row r="40">
      <c r="A40" s="45" t="inlineStr">
        <is>
          <t>HPRC HiSeq 30x 서브샘플 (HG003/HG004)</t>
        </is>
      </c>
      <c r="B40" t="inlineStr">
        <is>
          <t>https://s3-us-west-2.amazonaws.com/human-pangenomics/working/HPRC_PLUS/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6"/>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v0922</t>
        </is>
      </c>
      <c r="B1" s="73" t="n"/>
      <c r="C1" s="73" t="n"/>
      <c r="D1" s="73" t="n"/>
      <c r="E1" s="73" t="n"/>
      <c r="F1" s="73" t="n"/>
      <c r="G1" s="73" t="n"/>
      <c r="H1" s="73" t="n"/>
    </row>
    <row r="2" ht="22" customHeight="1">
      <c r="A2" s="75" t="inlineStr">
        <is>
          <t>원본: catalog/master_catalog.tsv · 442 datasets · 81,316 files · 114.3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vb09096fc890429ce (-x map-ont)</t>
        </is>
      </c>
      <c r="S104" s="60" t="inlineStr">
        <is>
          <t>GRCh38 (GCA_000001405.15 no_alt_analysis_set)</t>
        </is>
      </c>
      <c r="T104" s="60" t="inlineStr">
        <is>
          <t>me</t>
        </is>
      </c>
      <c r="U104" s="60" t="inlineStr">
        <is>
          <t>/BiO/scratch/ehojune/GIAB_benchmark/processed_data_ehojune/HG008T-p2/ONT/BCM_ONT-std_HG008T-p2_20260313/02_alignedBAM</t>
        </is>
      </c>
      <c r="V104" s="60" t="inlineStr">
        <is>
          <t>phase2_ont/scripts/10_submit.sh</t>
        </is>
      </c>
      <c r="W104" s="60" t="inlineStr">
        <is>
          <t>TRUE</t>
        </is>
      </c>
      <c r="X104" s="60" t="inlineStr">
        <is>
          <t>LongPhase v2.0.2 (Clair3 VCF phase+haplotag, SV 동시 위상)</t>
        </is>
      </c>
      <c r="Y104" s="60" t="inlineStr">
        <is>
          <t>me</t>
        </is>
      </c>
      <c r="Z104" s="60" t="inlineStr">
        <is>
          <t>/BiO/scratch/ehojune/GIAB_benchmark/processed_data_ehojune/HG008T-p2/ONT/BCM_ONT-std_HG008T-p2_20260313/03_VCF/phased_longphase</t>
        </is>
      </c>
      <c r="AA104" s="60" t="inlineStr">
        <is>
          <t>phase2_ont/scripts/10_submit.sh</t>
        </is>
      </c>
      <c r="AB104" s="60" t="inlineStr">
        <is>
          <t>TRUE</t>
        </is>
      </c>
      <c r="AC104" s="60" t="inlineStr">
        <is>
          <t>Clair3 v1.2.0 + DeepVariant v1.10.0 (ONT_R104) + Sniffles2 v2.8.0 [clair3 model: r1041_e82_400bps_sup_v430]</t>
        </is>
      </c>
      <c r="AD104" s="60" t="inlineStr">
        <is>
          <t>me</t>
        </is>
      </c>
      <c r="AE104" s="60" t="inlineStr">
        <is>
          <t>/BiO/scratch/ehojune/GIAB_benchmark/processed_data_ehojune/HG008T-p2/ONT/BCM_ONT-std_HG008T-p2_20260313/03_VCF</t>
        </is>
      </c>
      <c r="AF104" s="60" t="inlineStr">
        <is>
          <t>phase2_ont/scripts/10_submit.sh</t>
        </is>
      </c>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pacbio_hifi</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pacbio_hifi</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v1.17.0 → GRCh38-GIABv3, HiPhase v1.5.0 위상; uBAM(.demux.bam+.pbi) 동봉</t>
        </is>
      </c>
      <c r="S351" s="60" t="inlineStr">
        <is>
          <t>GRCh38-GIABv3</t>
        </is>
      </c>
      <c r="T351" s="60" t="inlineStr">
        <is>
          <t>GIAB</t>
        </is>
      </c>
      <c r="U351" s="60" t="n"/>
      <c r="V351" s="60" t="n"/>
      <c r="W351" s="60" t="inlineStr">
        <is>
          <t>TRUE</t>
        </is>
      </c>
      <c r="X351" s="60" t="inlineStr">
        <is>
          <t>HiPhase v1.5.0 (BCM Revio README)</t>
        </is>
      </c>
      <c r="Y351" s="60" t="inlineStr">
        <is>
          <t>GIAB</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n"/>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v1.17.0 → GRCh38-GIABv3, HiPhase v1.5.0 위상; uBAM(.demux.bam+.pbi) 동봉</t>
        </is>
      </c>
      <c r="S365" s="60" t="inlineStr">
        <is>
          <t>GRCh38-GIABv3</t>
        </is>
      </c>
      <c r="T365" s="60" t="inlineStr">
        <is>
          <t>GIAB</t>
        </is>
      </c>
      <c r="U365" s="60" t="n"/>
      <c r="V365" s="60" t="n"/>
      <c r="W365" s="60" t="inlineStr">
        <is>
          <t>TRUE</t>
        </is>
      </c>
      <c r="X365" s="60" t="inlineStr">
        <is>
          <t>HiPhase v1.5.0 (BCM Revio README)</t>
        </is>
      </c>
      <c r="Y365" s="60" t="inlineStr">
        <is>
          <t>GIAB</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n"/>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v1.17.0 → GRCh38-GIABv3, HiPhase v1.5.0 위상; uBAM(.demux.bam+.pbi) 동봉</t>
        </is>
      </c>
      <c r="S368" s="60" t="inlineStr">
        <is>
          <t>GRCh38-GIABv3</t>
        </is>
      </c>
      <c r="T368" s="60" t="inlineStr">
        <is>
          <t>GIAB</t>
        </is>
      </c>
      <c r="U368" s="60" t="n"/>
      <c r="V368" s="60" t="n"/>
      <c r="W368" s="60" t="inlineStr">
        <is>
          <t>TRUE</t>
        </is>
      </c>
      <c r="X368" s="60" t="inlineStr">
        <is>
          <t>HiPhase v1.5.0 (BCM Revio README)</t>
        </is>
      </c>
      <c r="Y368" s="60" t="inlineStr">
        <is>
          <t>GIAB</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n"/>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v1.17.0 → GRCh38-GIABv3, HiPhase v1.5.0 위상; uBAM(.demux.bam+.pbi) 동봉</t>
        </is>
      </c>
      <c r="S372" s="60" t="inlineStr">
        <is>
          <t>GRCh38-GIABv3</t>
        </is>
      </c>
      <c r="T372" s="60" t="inlineStr">
        <is>
          <t>GIAB</t>
        </is>
      </c>
      <c r="U372" s="60" t="n"/>
      <c r="V372" s="60" t="n"/>
      <c r="W372" s="60" t="inlineStr">
        <is>
          <t>TRUE</t>
        </is>
      </c>
      <c r="X372" s="60" t="inlineStr">
        <is>
          <t>HiPhase v1.5.0 (BCM Revio README)</t>
        </is>
      </c>
      <c r="Y372" s="60" t="inlineStr">
        <is>
          <t>GIAB</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n"/>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v1.17.0 → GRCh38-GIABv3, HiPhase v1.5.0 위상; uBAM(.demux.bam+.pbi) 동봉</t>
        </is>
      </c>
      <c r="S376" s="60" t="inlineStr">
        <is>
          <t>GRCh38-GIABv3</t>
        </is>
      </c>
      <c r="T376" s="60" t="inlineStr">
        <is>
          <t>GIAB</t>
        </is>
      </c>
      <c r="U376" s="60" t="n"/>
      <c r="V376" s="60" t="n"/>
      <c r="W376" s="60" t="inlineStr">
        <is>
          <t>TRUE</t>
        </is>
      </c>
      <c r="X376" s="60" t="inlineStr">
        <is>
          <t>HiPhase v1.5.0 (BCM Revio README)</t>
        </is>
      </c>
      <c r="Y376" s="60" t="inlineStr">
        <is>
          <t>GIAB</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n"/>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v1.17.0 → GRCh38-GIABv3, HiPhase v1.5.0 위상; uBAM(.demux.bam+.pbi) 동봉</t>
        </is>
      </c>
      <c r="S381" s="60" t="inlineStr">
        <is>
          <t>GRCh38-GIABv3</t>
        </is>
      </c>
      <c r="T381" s="60" t="inlineStr">
        <is>
          <t>GIAB</t>
        </is>
      </c>
      <c r="U381" s="60" t="n"/>
      <c r="V381" s="60" t="n"/>
      <c r="W381" s="60" t="inlineStr">
        <is>
          <t>TRUE</t>
        </is>
      </c>
      <c r="X381" s="60" t="inlineStr">
        <is>
          <t>HiPhase v1.5.0 (BCM Revio README)</t>
        </is>
      </c>
      <c r="Y381" s="60" t="inlineStr">
        <is>
          <t>GIAB</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n"/>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v1.17.0 → GRCh38-GIABv3, HiPhase v1.5.0 위상; uBAM(.demux.bam+.pbi) 동봉</t>
        </is>
      </c>
      <c r="S384" s="60" t="inlineStr">
        <is>
          <t>GRCh38-GIABv3</t>
        </is>
      </c>
      <c r="T384" s="60" t="inlineStr">
        <is>
          <t>GIAB</t>
        </is>
      </c>
      <c r="U384" s="60" t="n"/>
      <c r="V384" s="60" t="n"/>
      <c r="W384" s="60" t="inlineStr">
        <is>
          <t>TRUE</t>
        </is>
      </c>
      <c r="X384" s="60" t="inlineStr">
        <is>
          <t>HiPhase v1.5.0 (BCM Revio README)</t>
        </is>
      </c>
      <c r="Y384" s="60" t="inlineStr">
        <is>
          <t>GIAB</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n"/>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v1.17.0 → GRCh38-GIABv3, HiPhase v1.5.0 위상; uBAM(.demux.bam+.pbi) 동봉</t>
        </is>
      </c>
      <c r="S389" s="60" t="inlineStr">
        <is>
          <t>GRCh38-GIABv3</t>
        </is>
      </c>
      <c r="T389" s="60" t="inlineStr">
        <is>
          <t>GIAB</t>
        </is>
      </c>
      <c r="U389" s="60" t="n"/>
      <c r="V389" s="60" t="n"/>
      <c r="W389" s="60" t="inlineStr">
        <is>
          <t>TRUE</t>
        </is>
      </c>
      <c r="X389" s="60" t="inlineStr">
        <is>
          <t>HiPhase v1.5.0 (BCM Revio README)</t>
        </is>
      </c>
      <c r="Y389" s="60" t="inlineStr">
        <is>
          <t>GIAB</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n"/>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v1.17.0 → GRCh38-GIABv3, HiPhase v1.5.0 위상; uBAM(.demux.bam+.pbi) 동봉</t>
        </is>
      </c>
      <c r="S392" s="60" t="inlineStr">
        <is>
          <t>GRCh38-GIABv3</t>
        </is>
      </c>
      <c r="T392" s="60" t="inlineStr">
        <is>
          <t>GIAB</t>
        </is>
      </c>
      <c r="U392" s="60" t="n"/>
      <c r="V392" s="60" t="n"/>
      <c r="W392" s="60" t="inlineStr">
        <is>
          <t>TRUE</t>
        </is>
      </c>
      <c r="X392" s="60" t="inlineStr">
        <is>
          <t>HiPhase v1.5.0 (BCM Revio README)</t>
        </is>
      </c>
      <c r="Y392" s="60" t="inlineStr">
        <is>
          <t>GIAB</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n"/>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6">
      <c r="A446" s="60" t="inlineStr">
        <is>
          <t>HG002</t>
        </is>
      </c>
      <c r="B446" s="60" t="inlineStr">
        <is>
          <t>ont</t>
        </is>
      </c>
      <c r="C446" s="60" t="inlineStr">
        <is>
          <t>HG002 ONT R10.4.1 giab_2025.01 PAW70337 (ONT 공개 데이터)</t>
        </is>
      </c>
      <c r="D446" s="60" t="inlineStr">
        <is>
          <t>ext/ont-open-data/giab_2025.01/HG002/PAW70337</t>
        </is>
      </c>
      <c r="E446" s="60" t="inlineStr">
        <is>
          <t>ONT PromethION R10.4.1 (FLO-PRO114M, SQK-LSK114 kit14) 1 플로우셀 — dorado 0.8.2 sup, dna_r10.4.1_e8.2_400bps@v5.0.0</t>
        </is>
      </c>
      <c r="F446" s="60" t="inlineStr">
        <is>
          <t>49x (mosdepth 실측, 2026-09-22 우리 재정렬 BAM 기준. 편입 당시 표기는 ~45x 추정이었다. PAW71238을 더하면 ~90x지만 그러면 ONT 자체 hap.py 대조군이 사라져 받지 않는다)</t>
        </is>
      </c>
      <c r="G446" s="60" t="n">
        <v>2</v>
      </c>
      <c r="H446" s="60" t="n">
        <v>160</v>
      </c>
      <c r="I446" s="60" t="inlineStr">
        <is>
          <t>TRUE</t>
        </is>
      </c>
      <c r="J446" s="60" t="inlineStr">
        <is>
          <t>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t>
        </is>
      </c>
      <c r="K446" s="60" t="inlineStr">
        <is>
          <t>TRUE</t>
        </is>
      </c>
      <c r="L446" s="60" t="inlineStr">
        <is>
          <t>.bai</t>
        </is>
      </c>
      <c r="M446" s="60" t="inlineStr">
        <is>
          <t>0</t>
        </is>
      </c>
      <c r="N446" s="60" t="inlineStr">
        <is>
          <t>N/A</t>
        </is>
      </c>
      <c r="O446" s="60" t="inlineStr">
        <is>
          <t>/BiO/scratch/ehojune/GIAB_benchmark/ext/ont-open-data/giab_2025.01/HG002/PAW70337</t>
        </is>
      </c>
      <c r="P446" s="60" t="n"/>
      <c r="Q446" s="60" t="inlineStr">
        <is>
          <t>TRUE</t>
        </is>
      </c>
      <c r="R446" s="60" t="inlineStr">
        <is>
          <t>minimap2 vb09096fc890429ce (-x map-ont)</t>
        </is>
      </c>
      <c r="S446" s="60" t="inlineStr">
        <is>
          <t>GRCh38 (GCA_000001405.15 no_alt_analysis_set)</t>
        </is>
      </c>
      <c r="T446" s="60" t="inlineStr">
        <is>
          <t>me</t>
        </is>
      </c>
      <c r="U446" s="60" t="inlineStr">
        <is>
          <t>/BiO/scratch/ehojune/GIAB_benchmark/processed_data_ehojune/HG002/ONT/ONT-R10_giab2025.01_PAW70337/02_alignedBAM</t>
        </is>
      </c>
      <c r="V446" s="60" t="inlineStr">
        <is>
          <t>phase2_ont/scripts/10_submit.sh</t>
        </is>
      </c>
      <c r="W446" s="60" t="inlineStr">
        <is>
          <t>TRUE</t>
        </is>
      </c>
      <c r="X446" s="60" t="inlineStr">
        <is>
          <t>LongPhase v2.0.2 (Clair3 VCF phase+haplotag, SV 동시 위상)</t>
        </is>
      </c>
      <c r="Y446" s="60" t="inlineStr">
        <is>
          <t>me</t>
        </is>
      </c>
      <c r="Z446" s="60" t="inlineStr">
        <is>
          <t>/BiO/scratch/ehojune/GIAB_benchmark/processed_data_ehojune/HG002/ONT/ONT-R10_giab2025.01_PAW70337/03_VCF/phased_longphase</t>
        </is>
      </c>
      <c r="AA446" s="60" t="inlineStr">
        <is>
          <t>phase2_ont/scripts/10_submit.sh</t>
        </is>
      </c>
      <c r="AB446" s="60" t="inlineStr">
        <is>
          <t>TRUE</t>
        </is>
      </c>
      <c r="AC446" s="60" t="inlineStr">
        <is>
          <t>Clair3 v1.2.0 + DeepVariant v1.10.0 (ONT_R104) + Sniffles2 v2.8.0 [clair3 model: r1041_e82_400bps_sup_v500]</t>
        </is>
      </c>
      <c r="AD446" s="60" t="inlineStr">
        <is>
          <t>me</t>
        </is>
      </c>
      <c r="AE446" s="60" t="inlineStr">
        <is>
          <t>/BiO/scratch/ehojune/GIAB_benchmark/processed_data_ehojune/HG002/ONT/ONT-R10_giab2025.01_PAW70337/03_VCF</t>
        </is>
      </c>
      <c r="AF446" s="60" t="inlineStr">
        <is>
          <t>phase2_ont/scripts/10_submit.sh</t>
        </is>
      </c>
      <c r="AG446" s="60" t="inlineStr">
        <is>
          <t>FALSE</t>
        </is>
      </c>
      <c r="AH446" s="60" t="inlineStr">
        <is>
          <t>N/A</t>
        </is>
      </c>
      <c r="AI446" s="60" t="n"/>
      <c r="AJ446" s="60" t="n"/>
      <c r="AK446" s="60" t="n"/>
      <c r="AL446" s="60" t="inlineStr">
        <is>
          <t>-</t>
        </is>
      </c>
      <c r="AM446" s="60" t="inlineStr">
        <is>
          <t>-</t>
        </is>
      </c>
      <c r="AN446" s="60" t="inlineStr">
        <is>
          <t>-</t>
        </is>
      </c>
      <c r="AO446" s="60" t="n"/>
      <c r="AP446" s="60" t="n"/>
      <c r="AQ446" s="60" t="inlineStr">
        <is>
          <t>FALSE</t>
        </is>
      </c>
      <c r="AR446" s="60" t="inlineStr">
        <is>
          <t>N/A</t>
        </is>
      </c>
      <c r="AS446" s="60" t="n"/>
      <c r="AT446" s="60" t="n"/>
      <c r="AU446" s="60" t="n"/>
      <c r="AV446" s="60" t="inlineStr">
        <is>
          <t>FALSE</t>
        </is>
      </c>
      <c r="AW446" s="60" t="inlineStr">
        <is>
          <t>N/A</t>
        </is>
      </c>
      <c r="AX446" s="60" t="inlineStr">
        <is>
          <t>phase2 raw→VCF 완료 (minimap2 정렬 + Clair3 + Sniffles2 + LongPhase 위상).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446" s="60" t="inlineStr">
        <is>
          <t>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 | 배포 BAM 헤더 실측(2026-09-23): @PG 가 `samtools sort -@ 10 calls.bam` 하나뿐이고 PP 가 존재하지 않는 `basecaller` 를 가리켜 **정렬 도구가 헤더에 남아 있지 않다** — ONT 가 정렬해 배포한 것은 맞지만 무엇으로 했는지는 파일로 확인할 수 없다. @RG: basecall_model=dna_r10.4.1_e8.2_400bps_sup@v5.0.0, modbase_models=..._5mC_5hmC@v2.0.1, PU=PAW70337, PM=PC48LILITH, DT=2024-06-19. @SQ 195개 / chr1 248,956,422 = GRCh38 no_alt analysis set. 카탈로그의 align_* 칸은 (다른 행과 같은 규칙으로) **우리 재정렬** 값이다.</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2026-09-23T18:15:27Z</dcterms:modified>
</cp:coreProperties>
</file>